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314_ICT2\"/>
    </mc:Choice>
  </mc:AlternateContent>
  <xr:revisionPtr revIDLastSave="0" documentId="8_{2D34F548-AE8F-4B30-9BC8-011ECFD00A3C}" xr6:coauthVersionLast="47" xr6:coauthVersionMax="47" xr10:uidLastSave="{00000000-0000-0000-0000-000000000000}"/>
  <bookViews>
    <workbookView xWindow="-110" yWindow="-110" windowWidth="19420" windowHeight="10300" xr2:uid="{050DA7BA-0D44-4781-9512-494254149F81}"/>
  </bookViews>
  <sheets>
    <sheet name="Monthly wages" sheetId="1" r:id="rId1"/>
    <sheet name="Chart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2" i="1"/>
  <c r="J13" i="1"/>
  <c r="J14" i="1"/>
  <c r="J3" i="1"/>
  <c r="H4" i="1"/>
  <c r="H5" i="1"/>
  <c r="H6" i="1"/>
  <c r="H7" i="1"/>
  <c r="H8" i="1"/>
  <c r="H9" i="1"/>
  <c r="H10" i="1"/>
  <c r="H11" i="1"/>
  <c r="H12" i="1"/>
  <c r="H13" i="1"/>
  <c r="H14" i="1"/>
  <c r="H3" i="1"/>
  <c r="G4" i="1"/>
  <c r="G5" i="1"/>
  <c r="G6" i="1"/>
  <c r="G7" i="1"/>
  <c r="G8" i="1"/>
  <c r="G9" i="1"/>
  <c r="G10" i="1"/>
  <c r="G11" i="1"/>
  <c r="G12" i="1"/>
  <c r="G13" i="1"/>
  <c r="G14" i="1"/>
  <c r="G3" i="1"/>
</calcChain>
</file>

<file path=xl/sharedStrings.xml><?xml version="1.0" encoding="utf-8"?>
<sst xmlns="http://schemas.openxmlformats.org/spreadsheetml/2006/main" count="49" uniqueCount="39">
  <si>
    <t>ABC 001</t>
  </si>
  <si>
    <t>ABC 002</t>
  </si>
  <si>
    <t>ABC 003</t>
  </si>
  <si>
    <t>ABC 004</t>
  </si>
  <si>
    <t>ABC 005</t>
  </si>
  <si>
    <t>ABC 006</t>
  </si>
  <si>
    <t>ABC 007</t>
  </si>
  <si>
    <t>ABC 008</t>
  </si>
  <si>
    <t>ABC 009</t>
  </si>
  <si>
    <t>ABC 010</t>
  </si>
  <si>
    <t>ABC 011</t>
  </si>
  <si>
    <t>ABC 012</t>
  </si>
  <si>
    <t>Saman Athukorala</t>
  </si>
  <si>
    <t>Senarath Perera</t>
  </si>
  <si>
    <t>Wimal Herath</t>
  </si>
  <si>
    <t>Pathum Gomez</t>
  </si>
  <si>
    <t>Anura Perera</t>
  </si>
  <si>
    <t>Ruwan Wijekoon</t>
  </si>
  <si>
    <t>Asiri Wimalasena</t>
  </si>
  <si>
    <t xml:space="preserve">Senaka Fonseka </t>
  </si>
  <si>
    <t xml:space="preserve">Kamal Ranjith </t>
  </si>
  <si>
    <t xml:space="preserve">Sunil Somaweera </t>
  </si>
  <si>
    <t xml:space="preserve">Dumindu Attanayake </t>
  </si>
  <si>
    <t xml:space="preserve">Dunil Pushpakumara </t>
  </si>
  <si>
    <t>Wet Section</t>
  </si>
  <si>
    <t>Dry Section</t>
  </si>
  <si>
    <t>ABC (Pvt) Ltd Monthly Wages Report</t>
  </si>
  <si>
    <t>Labour ID</t>
  </si>
  <si>
    <t>Labour Name</t>
  </si>
  <si>
    <t xml:space="preserve">Category </t>
  </si>
  <si>
    <t>Hourly rate</t>
  </si>
  <si>
    <t xml:space="preserve">Hours per day </t>
  </si>
  <si>
    <t>Number of days worked per week</t>
  </si>
  <si>
    <t xml:space="preserve">Monthly wages </t>
  </si>
  <si>
    <t xml:space="preserve">Bonus amount </t>
  </si>
  <si>
    <t>Total Wage</t>
  </si>
  <si>
    <t>Number of labour which earned monthly wages greater than Rs. 15 000</t>
  </si>
  <si>
    <t>Sum of the bonus value of Labour in "Wet section" Category</t>
  </si>
  <si>
    <t>Number of Labour which earned Hourly Rate greater than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</si>
</sst>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Rs.-849]\ * #,##0.00_-;\-[$Rs.-849]\ * #,##0.00_-;_-[$Rs.-849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sz val="11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167" fontId="1" fillId="0" borderId="1" xfId="0" applyNumberFormat="1" applyFont="1" applyBorder="1"/>
    <xf numFmtId="167" fontId="4" fillId="3" borderId="1" xfId="0" applyNumberFormat="1" applyFont="1" applyFill="1" applyBorder="1"/>
    <xf numFmtId="167" fontId="1" fillId="0" borderId="0" xfId="0" applyNumberFormat="1" applyFo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Legends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'Monthly wages'!$J$2</c:f>
              <c:strCache>
                <c:ptCount val="1"/>
                <c:pt idx="0">
                  <c:v>Total Wage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'Monthly wages'!$A$3:$C$14</c15:sqref>
                  </c15:fullRef>
                  <c15:levelRef>
                    <c15:sqref>'Monthly wages'!$A$3:$A$14</c15:sqref>
                  </c15:levelRef>
                </c:ext>
              </c:extLst>
              <c:f>'Monthly wages'!$A$3:$A$14</c:f>
              <c:strCache>
                <c:ptCount val="12"/>
                <c:pt idx="0">
                  <c:v>ABC 001</c:v>
                </c:pt>
                <c:pt idx="1">
                  <c:v>ABC 002</c:v>
                </c:pt>
                <c:pt idx="2">
                  <c:v>ABC 003</c:v>
                </c:pt>
                <c:pt idx="3">
                  <c:v>ABC 004</c:v>
                </c:pt>
                <c:pt idx="4">
                  <c:v>ABC 005</c:v>
                </c:pt>
                <c:pt idx="5">
                  <c:v>ABC 006</c:v>
                </c:pt>
                <c:pt idx="6">
                  <c:v>ABC 007</c:v>
                </c:pt>
                <c:pt idx="7">
                  <c:v>ABC 008</c:v>
                </c:pt>
                <c:pt idx="8">
                  <c:v>ABC 009</c:v>
                </c:pt>
                <c:pt idx="9">
                  <c:v>ABC 010</c:v>
                </c:pt>
                <c:pt idx="10">
                  <c:v>ABC 011</c:v>
                </c:pt>
                <c:pt idx="11">
                  <c:v>ABC 012</c:v>
                </c:pt>
              </c:strCache>
            </c:strRef>
          </c:cat>
          <c:val>
            <c:numRef>
              <c:f>'Monthly wages'!$J$3:$J$14</c:f>
              <c:numCache>
                <c:formatCode>_-[$Rs.-849]\ * #,##0.00_-;\-[$Rs.-849]\ * #,##0.00_-;_-[$Rs.-849]\ * "-"??_-;_-@_-</c:formatCode>
                <c:ptCount val="12"/>
                <c:pt idx="0">
                  <c:v>21000</c:v>
                </c:pt>
                <c:pt idx="1">
                  <c:v>17700</c:v>
                </c:pt>
                <c:pt idx="2">
                  <c:v>30000</c:v>
                </c:pt>
                <c:pt idx="3">
                  <c:v>18750</c:v>
                </c:pt>
                <c:pt idx="4">
                  <c:v>19800</c:v>
                </c:pt>
                <c:pt idx="5">
                  <c:v>15300</c:v>
                </c:pt>
                <c:pt idx="6">
                  <c:v>20790</c:v>
                </c:pt>
                <c:pt idx="7">
                  <c:v>25650</c:v>
                </c:pt>
                <c:pt idx="8">
                  <c:v>33600</c:v>
                </c:pt>
                <c:pt idx="9">
                  <c:v>16200</c:v>
                </c:pt>
                <c:pt idx="10">
                  <c:v>21937.5</c:v>
                </c:pt>
                <c:pt idx="11">
                  <c:v>29750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6-45B2-A475-FF1B2D9C9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036392"/>
        <c:axId val="446031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wages'!$D$2</c15:sqref>
                        </c15:formulaRef>
                      </c:ext>
                    </c:extLst>
                    <c:strCache>
                      <c:ptCount val="1"/>
                      <c:pt idx="0">
                        <c:v>Hourly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'Monthly wages'!$A$3:$C$14</c15:sqref>
                        </c15:fullRef>
                        <c15:levelRef>
                          <c15:sqref>'Monthly wages'!$A$3:$A$14</c15:sqref>
                        </c15:levelRef>
                        <c15:formulaRef>
                          <c15:sqref>'Monthly wages'!$A$3:$A$14</c15:sqref>
                        </c15:formulaRef>
                      </c:ext>
                    </c:extLst>
                    <c:strCache>
                      <c:ptCount val="12"/>
                      <c:pt idx="0">
                        <c:v>ABC 001</c:v>
                      </c:pt>
                      <c:pt idx="1">
                        <c:v>ABC 002</c:v>
                      </c:pt>
                      <c:pt idx="2">
                        <c:v>ABC 003</c:v>
                      </c:pt>
                      <c:pt idx="3">
                        <c:v>ABC 004</c:v>
                      </c:pt>
                      <c:pt idx="4">
                        <c:v>ABC 005</c:v>
                      </c:pt>
                      <c:pt idx="5">
                        <c:v>ABC 006</c:v>
                      </c:pt>
                      <c:pt idx="6">
                        <c:v>ABC 007</c:v>
                      </c:pt>
                      <c:pt idx="7">
                        <c:v>ABC 008</c:v>
                      </c:pt>
                      <c:pt idx="8">
                        <c:v>ABC 009</c:v>
                      </c:pt>
                      <c:pt idx="9">
                        <c:v>ABC 010</c:v>
                      </c:pt>
                      <c:pt idx="10">
                        <c:v>ABC 011</c:v>
                      </c:pt>
                      <c:pt idx="11">
                        <c:v>ABC 012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wages'!$D$3:$D$14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420</c:v>
                      </c:pt>
                      <c:pt idx="1">
                        <c:v>590</c:v>
                      </c:pt>
                      <c:pt idx="2">
                        <c:v>600</c:v>
                      </c:pt>
                      <c:pt idx="3">
                        <c:v>250</c:v>
                      </c:pt>
                      <c:pt idx="4">
                        <c:v>330</c:v>
                      </c:pt>
                      <c:pt idx="5">
                        <c:v>340</c:v>
                      </c:pt>
                      <c:pt idx="6">
                        <c:v>385</c:v>
                      </c:pt>
                      <c:pt idx="7">
                        <c:v>450</c:v>
                      </c:pt>
                      <c:pt idx="8">
                        <c:v>640</c:v>
                      </c:pt>
                      <c:pt idx="9">
                        <c:v>360</c:v>
                      </c:pt>
                      <c:pt idx="10">
                        <c:v>450</c:v>
                      </c:pt>
                      <c:pt idx="11">
                        <c:v>680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186-45B2-A475-FF1B2D9C9D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wages'!$E$2</c15:sqref>
                        </c15:formulaRef>
                      </c:ext>
                    </c:extLst>
                    <c:strCache>
                      <c:ptCount val="1"/>
                      <c:pt idx="0">
                        <c:v>Hours per day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wages'!$A$3:$C$14</c15:sqref>
                        </c15:fullRef>
                        <c15:levelRef>
                          <c15:sqref>'Monthly wages'!$A$3:$A$14</c15:sqref>
                        </c15:levelRef>
                        <c15:formulaRef>
                          <c15:sqref>'Monthly wages'!$A$3:$A$14</c15:sqref>
                        </c15:formulaRef>
                      </c:ext>
                    </c:extLst>
                    <c:strCache>
                      <c:ptCount val="12"/>
                      <c:pt idx="0">
                        <c:v>ABC 001</c:v>
                      </c:pt>
                      <c:pt idx="1">
                        <c:v>ABC 002</c:v>
                      </c:pt>
                      <c:pt idx="2">
                        <c:v>ABC 003</c:v>
                      </c:pt>
                      <c:pt idx="3">
                        <c:v>ABC 004</c:v>
                      </c:pt>
                      <c:pt idx="4">
                        <c:v>ABC 005</c:v>
                      </c:pt>
                      <c:pt idx="5">
                        <c:v>ABC 006</c:v>
                      </c:pt>
                      <c:pt idx="6">
                        <c:v>ABC 007</c:v>
                      </c:pt>
                      <c:pt idx="7">
                        <c:v>ABC 008</c:v>
                      </c:pt>
                      <c:pt idx="8">
                        <c:v>ABC 009</c:v>
                      </c:pt>
                      <c:pt idx="9">
                        <c:v>ABC 010</c:v>
                      </c:pt>
                      <c:pt idx="10">
                        <c:v>ABC 011</c:v>
                      </c:pt>
                      <c:pt idx="11">
                        <c:v>ABC 012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wages'!$E$3:$E$14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5</c:v>
                      </c:pt>
                      <c:pt idx="2">
                        <c:v>8</c:v>
                      </c:pt>
                      <c:pt idx="3">
                        <c:v>10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9</c:v>
                      </c:pt>
                      <c:pt idx="7">
                        <c:v>9.5</c:v>
                      </c:pt>
                      <c:pt idx="8">
                        <c:v>7.5</c:v>
                      </c:pt>
                      <c:pt idx="9">
                        <c:v>6</c:v>
                      </c:pt>
                      <c:pt idx="10">
                        <c:v>6.5</c:v>
                      </c:pt>
                      <c:pt idx="11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186-45B2-A475-FF1B2D9C9D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wages'!$F$2</c15:sqref>
                        </c15:formulaRef>
                      </c:ext>
                    </c:extLst>
                    <c:strCache>
                      <c:ptCount val="1"/>
                      <c:pt idx="0">
                        <c:v>Number of days worked per week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wages'!$A$3:$C$14</c15:sqref>
                        </c15:fullRef>
                        <c15:levelRef>
                          <c15:sqref>'Monthly wages'!$A$3:$A$14</c15:sqref>
                        </c15:levelRef>
                        <c15:formulaRef>
                          <c15:sqref>'Monthly wages'!$A$3:$A$14</c15:sqref>
                        </c15:formulaRef>
                      </c:ext>
                    </c:extLst>
                    <c:strCache>
                      <c:ptCount val="12"/>
                      <c:pt idx="0">
                        <c:v>ABC 001</c:v>
                      </c:pt>
                      <c:pt idx="1">
                        <c:v>ABC 002</c:v>
                      </c:pt>
                      <c:pt idx="2">
                        <c:v>ABC 003</c:v>
                      </c:pt>
                      <c:pt idx="3">
                        <c:v>ABC 004</c:v>
                      </c:pt>
                      <c:pt idx="4">
                        <c:v>ABC 005</c:v>
                      </c:pt>
                      <c:pt idx="5">
                        <c:v>ABC 006</c:v>
                      </c:pt>
                      <c:pt idx="6">
                        <c:v>ABC 007</c:v>
                      </c:pt>
                      <c:pt idx="7">
                        <c:v>ABC 008</c:v>
                      </c:pt>
                      <c:pt idx="8">
                        <c:v>ABC 009</c:v>
                      </c:pt>
                      <c:pt idx="9">
                        <c:v>ABC 010</c:v>
                      </c:pt>
                      <c:pt idx="10">
                        <c:v>ABC 011</c:v>
                      </c:pt>
                      <c:pt idx="11">
                        <c:v>ABC 012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wages'!$F$3:$F$14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5</c:v>
                      </c:pt>
                      <c:pt idx="6">
                        <c:v>4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186-45B2-A475-FF1B2D9C9D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wages'!$G$2</c15:sqref>
                        </c15:formulaRef>
                      </c:ext>
                    </c:extLst>
                    <c:strCache>
                      <c:ptCount val="1"/>
                      <c:pt idx="0">
                        <c:v>Monthly wages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wages'!$A$3:$C$14</c15:sqref>
                        </c15:fullRef>
                        <c15:levelRef>
                          <c15:sqref>'Monthly wages'!$A$3:$A$14</c15:sqref>
                        </c15:levelRef>
                        <c15:formulaRef>
                          <c15:sqref>'Monthly wages'!$A$3:$A$14</c15:sqref>
                        </c15:formulaRef>
                      </c:ext>
                    </c:extLst>
                    <c:strCache>
                      <c:ptCount val="12"/>
                      <c:pt idx="0">
                        <c:v>ABC 001</c:v>
                      </c:pt>
                      <c:pt idx="1">
                        <c:v>ABC 002</c:v>
                      </c:pt>
                      <c:pt idx="2">
                        <c:v>ABC 003</c:v>
                      </c:pt>
                      <c:pt idx="3">
                        <c:v>ABC 004</c:v>
                      </c:pt>
                      <c:pt idx="4">
                        <c:v>ABC 005</c:v>
                      </c:pt>
                      <c:pt idx="5">
                        <c:v>ABC 006</c:v>
                      </c:pt>
                      <c:pt idx="6">
                        <c:v>ABC 007</c:v>
                      </c:pt>
                      <c:pt idx="7">
                        <c:v>ABC 008</c:v>
                      </c:pt>
                      <c:pt idx="8">
                        <c:v>ABC 009</c:v>
                      </c:pt>
                      <c:pt idx="9">
                        <c:v>ABC 010</c:v>
                      </c:pt>
                      <c:pt idx="10">
                        <c:v>ABC 011</c:v>
                      </c:pt>
                      <c:pt idx="11">
                        <c:v>ABC 012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wages'!$G$3:$G$14</c15:sqref>
                        </c15:formulaRef>
                      </c:ext>
                    </c:extLst>
                    <c:numCache>
                      <c:formatCode>_-[$Rs.-849]\ * #,##0.00_-;\-[$Rs.-849]\ * #,##0.00_-;_-[$Rs.-849]\ * "-"??_-;_-@_-</c:formatCode>
                      <c:ptCount val="12"/>
                      <c:pt idx="0">
                        <c:v>16800</c:v>
                      </c:pt>
                      <c:pt idx="1">
                        <c:v>11800</c:v>
                      </c:pt>
                      <c:pt idx="2">
                        <c:v>24000</c:v>
                      </c:pt>
                      <c:pt idx="3">
                        <c:v>12500</c:v>
                      </c:pt>
                      <c:pt idx="4">
                        <c:v>15840</c:v>
                      </c:pt>
                      <c:pt idx="5">
                        <c:v>10200</c:v>
                      </c:pt>
                      <c:pt idx="6">
                        <c:v>13860</c:v>
                      </c:pt>
                      <c:pt idx="7">
                        <c:v>25650</c:v>
                      </c:pt>
                      <c:pt idx="8">
                        <c:v>33600</c:v>
                      </c:pt>
                      <c:pt idx="9">
                        <c:v>10800</c:v>
                      </c:pt>
                      <c:pt idx="10">
                        <c:v>17550</c:v>
                      </c:pt>
                      <c:pt idx="11">
                        <c:v>23800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186-45B2-A475-FF1B2D9C9D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wages'!$H$2</c15:sqref>
                        </c15:formulaRef>
                      </c:ext>
                    </c:extLst>
                    <c:strCache>
                      <c:ptCount val="1"/>
                      <c:pt idx="0">
                        <c:v>Bonus amount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wages'!$A$3:$C$14</c15:sqref>
                        </c15:fullRef>
                        <c15:levelRef>
                          <c15:sqref>'Monthly wages'!$A$3:$A$14</c15:sqref>
                        </c15:levelRef>
                        <c15:formulaRef>
                          <c15:sqref>'Monthly wages'!$A$3:$A$14</c15:sqref>
                        </c15:formulaRef>
                      </c:ext>
                    </c:extLst>
                    <c:strCache>
                      <c:ptCount val="12"/>
                      <c:pt idx="0">
                        <c:v>ABC 001</c:v>
                      </c:pt>
                      <c:pt idx="1">
                        <c:v>ABC 002</c:v>
                      </c:pt>
                      <c:pt idx="2">
                        <c:v>ABC 003</c:v>
                      </c:pt>
                      <c:pt idx="3">
                        <c:v>ABC 004</c:v>
                      </c:pt>
                      <c:pt idx="4">
                        <c:v>ABC 005</c:v>
                      </c:pt>
                      <c:pt idx="5">
                        <c:v>ABC 006</c:v>
                      </c:pt>
                      <c:pt idx="6">
                        <c:v>ABC 007</c:v>
                      </c:pt>
                      <c:pt idx="7">
                        <c:v>ABC 008</c:v>
                      </c:pt>
                      <c:pt idx="8">
                        <c:v>ABC 009</c:v>
                      </c:pt>
                      <c:pt idx="9">
                        <c:v>ABC 010</c:v>
                      </c:pt>
                      <c:pt idx="10">
                        <c:v>ABC 011</c:v>
                      </c:pt>
                      <c:pt idx="11">
                        <c:v>ABC 012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wages'!$H$3:$H$14</c15:sqref>
                        </c15:formulaRef>
                      </c:ext>
                    </c:extLst>
                    <c:numCache>
                      <c:formatCode>_-[$Rs.-849]\ * #,##0.00_-;\-[$Rs.-849]\ * #,##0.00_-;_-[$Rs.-849]\ * "-"??_-;_-@_-</c:formatCode>
                      <c:ptCount val="12"/>
                      <c:pt idx="0">
                        <c:v>4200</c:v>
                      </c:pt>
                      <c:pt idx="1">
                        <c:v>5900</c:v>
                      </c:pt>
                      <c:pt idx="2">
                        <c:v>6000</c:v>
                      </c:pt>
                      <c:pt idx="3">
                        <c:v>6250</c:v>
                      </c:pt>
                      <c:pt idx="4">
                        <c:v>3960</c:v>
                      </c:pt>
                      <c:pt idx="5">
                        <c:v>5100</c:v>
                      </c:pt>
                      <c:pt idx="6">
                        <c:v>6930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5400</c:v>
                      </c:pt>
                      <c:pt idx="10">
                        <c:v>4387.5</c:v>
                      </c:pt>
                      <c:pt idx="11">
                        <c:v>5950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186-45B2-A475-FF1B2D9C9D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wages'!$I$2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wages'!$A$3:$C$14</c15:sqref>
                        </c15:fullRef>
                        <c15:levelRef>
                          <c15:sqref>'Monthly wages'!$A$3:$A$14</c15:sqref>
                        </c15:levelRef>
                        <c15:formulaRef>
                          <c15:sqref>'Monthly wages'!$A$3:$A$14</c15:sqref>
                        </c15:formulaRef>
                      </c:ext>
                    </c:extLst>
                    <c:strCache>
                      <c:ptCount val="12"/>
                      <c:pt idx="0">
                        <c:v>ABC 001</c:v>
                      </c:pt>
                      <c:pt idx="1">
                        <c:v>ABC 002</c:v>
                      </c:pt>
                      <c:pt idx="2">
                        <c:v>ABC 003</c:v>
                      </c:pt>
                      <c:pt idx="3">
                        <c:v>ABC 004</c:v>
                      </c:pt>
                      <c:pt idx="4">
                        <c:v>ABC 005</c:v>
                      </c:pt>
                      <c:pt idx="5">
                        <c:v>ABC 006</c:v>
                      </c:pt>
                      <c:pt idx="6">
                        <c:v>ABC 007</c:v>
                      </c:pt>
                      <c:pt idx="7">
                        <c:v>ABC 008</c:v>
                      </c:pt>
                      <c:pt idx="8">
                        <c:v>ABC 009</c:v>
                      </c:pt>
                      <c:pt idx="9">
                        <c:v>ABC 010</c:v>
                      </c:pt>
                      <c:pt idx="10">
                        <c:v>ABC 011</c:v>
                      </c:pt>
                      <c:pt idx="11">
                        <c:v>ABC 012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wages'!$I$3:$I$14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186-45B2-A475-FF1B2D9C9DF9}"/>
                  </c:ext>
                </c:extLst>
              </c15:ser>
            </c15:filteredLineSeries>
          </c:ext>
        </c:extLst>
      </c:lineChart>
      <c:catAx>
        <c:axId val="44603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31352"/>
        <c:crosses val="autoZero"/>
        <c:auto val="1"/>
        <c:lblAlgn val="ctr"/>
        <c:lblOffset val="100"/>
        <c:noMultiLvlLbl val="0"/>
      </c:catAx>
      <c:valAx>
        <c:axId val="44603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s.-849]\ * #,##0.00_-;\-[$Rs.-849]\ * #,##0.00_-;_-[$Rs.-849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3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</xdr:colOff>
      <xdr:row>0</xdr:row>
      <xdr:rowOff>0</xdr:rowOff>
    </xdr:from>
    <xdr:to>
      <xdr:col>7</xdr:col>
      <xdr:colOff>307975</xdr:colOff>
      <xdr:row>14</xdr:row>
      <xdr:rowOff>165100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9D4EBF2-EF80-89C6-BACF-B3643EC63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D002-7ED5-41DC-949F-9557CDFFA478}">
  <dimension ref="A1:J14"/>
  <sheetViews>
    <sheetView tabSelected="1" topLeftCell="D11" workbookViewId="0">
      <selection activeCell="D16" sqref="D16"/>
    </sheetView>
  </sheetViews>
  <sheetFormatPr defaultRowHeight="14" x14ac:dyDescent="0.3"/>
  <cols>
    <col min="1" max="1" width="8.7265625" style="1"/>
    <col min="2" max="2" width="19.7265625" style="1" customWidth="1"/>
    <col min="3" max="3" width="12.08984375" style="1" customWidth="1"/>
    <col min="4" max="6" width="8.7265625" style="1"/>
    <col min="7" max="7" width="14.453125" style="1" bestFit="1" customWidth="1"/>
    <col min="8" max="8" width="13.36328125" style="1" bestFit="1" customWidth="1"/>
    <col min="9" max="9" width="8.7265625" style="1"/>
    <col min="10" max="10" width="14.453125" style="1" bestFit="1" customWidth="1"/>
    <col min="11" max="16384" width="8.7265625" style="1"/>
  </cols>
  <sheetData>
    <row r="1" spans="1:10" ht="28" x14ac:dyDescent="0.3">
      <c r="A1" s="4" t="s">
        <v>26</v>
      </c>
      <c r="B1" s="4"/>
      <c r="C1" s="4"/>
      <c r="D1" s="4"/>
      <c r="E1" s="4"/>
      <c r="F1" s="4"/>
      <c r="G1" s="4"/>
      <c r="H1" s="4"/>
    </row>
    <row r="2" spans="1:10" ht="70" x14ac:dyDescent="0.3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J2" s="2" t="s">
        <v>35</v>
      </c>
    </row>
    <row r="3" spans="1:10" x14ac:dyDescent="0.3">
      <c r="A3" s="3" t="s">
        <v>0</v>
      </c>
      <c r="B3" s="3" t="s">
        <v>12</v>
      </c>
      <c r="C3" s="3" t="s">
        <v>24</v>
      </c>
      <c r="D3" s="3">
        <v>420</v>
      </c>
      <c r="E3" s="3">
        <v>8</v>
      </c>
      <c r="F3" s="3">
        <v>5</v>
      </c>
      <c r="G3" s="6">
        <f>SUM(D3*E3*F3)</f>
        <v>16800</v>
      </c>
      <c r="H3" s="6">
        <f>IF(G3&lt;10000,G3*100%, IF(G3&lt;15000,G3*50%, IF(G3&lt;=25000,G3*25%,"No Bonus")))</f>
        <v>4200</v>
      </c>
      <c r="J3" s="8">
        <f>SUM(G3+H3)</f>
        <v>21000</v>
      </c>
    </row>
    <row r="4" spans="1:10" x14ac:dyDescent="0.3">
      <c r="A4" s="3" t="s">
        <v>1</v>
      </c>
      <c r="B4" s="3" t="s">
        <v>13</v>
      </c>
      <c r="C4" s="3" t="s">
        <v>24</v>
      </c>
      <c r="D4" s="3">
        <v>590</v>
      </c>
      <c r="E4" s="3">
        <v>5</v>
      </c>
      <c r="F4" s="3">
        <v>4</v>
      </c>
      <c r="G4" s="6">
        <f t="shared" ref="G4:G14" si="0">SUM(D4*E4*F4)</f>
        <v>11800</v>
      </c>
      <c r="H4" s="7">
        <f t="shared" ref="H4:H14" si="1">IF(G4&lt;10000,G4*100%, IF(G4&lt;15000,G4*50%, IF(G4&lt;=25000,G4*25%,"No Bonus")))</f>
        <v>5900</v>
      </c>
      <c r="J4" s="8">
        <f t="shared" ref="J4:J14" si="2">SUM(G4+H4)</f>
        <v>17700</v>
      </c>
    </row>
    <row r="5" spans="1:10" x14ac:dyDescent="0.3">
      <c r="A5" s="3" t="s">
        <v>2</v>
      </c>
      <c r="B5" s="3" t="s">
        <v>14</v>
      </c>
      <c r="C5" s="3" t="s">
        <v>25</v>
      </c>
      <c r="D5" s="3">
        <v>600</v>
      </c>
      <c r="E5" s="3">
        <v>8</v>
      </c>
      <c r="F5" s="3">
        <v>5</v>
      </c>
      <c r="G5" s="6">
        <f t="shared" si="0"/>
        <v>24000</v>
      </c>
      <c r="H5" s="7">
        <f t="shared" si="1"/>
        <v>6000</v>
      </c>
      <c r="J5" s="8">
        <f t="shared" si="2"/>
        <v>30000</v>
      </c>
    </row>
    <row r="6" spans="1:10" x14ac:dyDescent="0.3">
      <c r="A6" s="3" t="s">
        <v>3</v>
      </c>
      <c r="B6" s="3" t="s">
        <v>15</v>
      </c>
      <c r="C6" s="3" t="s">
        <v>24</v>
      </c>
      <c r="D6" s="3">
        <v>250</v>
      </c>
      <c r="E6" s="3">
        <v>10</v>
      </c>
      <c r="F6" s="3">
        <v>5</v>
      </c>
      <c r="G6" s="6">
        <f t="shared" si="0"/>
        <v>12500</v>
      </c>
      <c r="H6" s="7">
        <f t="shared" si="1"/>
        <v>6250</v>
      </c>
      <c r="J6" s="8">
        <f t="shared" si="2"/>
        <v>18750</v>
      </c>
    </row>
    <row r="7" spans="1:10" x14ac:dyDescent="0.3">
      <c r="A7" s="3" t="s">
        <v>4</v>
      </c>
      <c r="B7" s="3" t="s">
        <v>16</v>
      </c>
      <c r="C7" s="3" t="s">
        <v>25</v>
      </c>
      <c r="D7" s="3">
        <v>330</v>
      </c>
      <c r="E7" s="3">
        <v>8</v>
      </c>
      <c r="F7" s="3">
        <v>6</v>
      </c>
      <c r="G7" s="6">
        <f t="shared" si="0"/>
        <v>15840</v>
      </c>
      <c r="H7" s="6">
        <f t="shared" si="1"/>
        <v>3960</v>
      </c>
      <c r="J7" s="8">
        <f t="shared" si="2"/>
        <v>19800</v>
      </c>
    </row>
    <row r="8" spans="1:10" x14ac:dyDescent="0.3">
      <c r="A8" s="3" t="s">
        <v>5</v>
      </c>
      <c r="B8" s="3" t="s">
        <v>17</v>
      </c>
      <c r="C8" s="3" t="s">
        <v>25</v>
      </c>
      <c r="D8" s="3">
        <v>340</v>
      </c>
      <c r="E8" s="3">
        <v>6</v>
      </c>
      <c r="F8" s="3">
        <v>5</v>
      </c>
      <c r="G8" s="6">
        <f t="shared" si="0"/>
        <v>10200</v>
      </c>
      <c r="H8" s="7">
        <f t="shared" si="1"/>
        <v>5100</v>
      </c>
      <c r="J8" s="8">
        <f t="shared" si="2"/>
        <v>15300</v>
      </c>
    </row>
    <row r="9" spans="1:10" x14ac:dyDescent="0.3">
      <c r="A9" s="3" t="s">
        <v>6</v>
      </c>
      <c r="B9" s="3" t="s">
        <v>18</v>
      </c>
      <c r="C9" s="3" t="s">
        <v>25</v>
      </c>
      <c r="D9" s="3">
        <v>385</v>
      </c>
      <c r="E9" s="3">
        <v>9</v>
      </c>
      <c r="F9" s="3">
        <v>4</v>
      </c>
      <c r="G9" s="6">
        <f t="shared" si="0"/>
        <v>13860</v>
      </c>
      <c r="H9" s="7">
        <f t="shared" si="1"/>
        <v>6930</v>
      </c>
      <c r="J9" s="8">
        <f t="shared" si="2"/>
        <v>20790</v>
      </c>
    </row>
    <row r="10" spans="1:10" x14ac:dyDescent="0.3">
      <c r="A10" s="3" t="s">
        <v>7</v>
      </c>
      <c r="B10" s="3" t="s">
        <v>19</v>
      </c>
      <c r="C10" s="3" t="s">
        <v>24</v>
      </c>
      <c r="D10" s="3">
        <v>450</v>
      </c>
      <c r="E10" s="3">
        <v>9.5</v>
      </c>
      <c r="F10" s="3">
        <v>6</v>
      </c>
      <c r="G10" s="6">
        <f t="shared" si="0"/>
        <v>25650</v>
      </c>
      <c r="H10" s="6" t="str">
        <f t="shared" si="1"/>
        <v>No Bonus</v>
      </c>
      <c r="J10" s="8">
        <v>25650</v>
      </c>
    </row>
    <row r="11" spans="1:10" x14ac:dyDescent="0.3">
      <c r="A11" s="3" t="s">
        <v>8</v>
      </c>
      <c r="B11" s="3" t="s">
        <v>20</v>
      </c>
      <c r="C11" s="3" t="s">
        <v>24</v>
      </c>
      <c r="D11" s="3">
        <v>640</v>
      </c>
      <c r="E11" s="3">
        <v>7.5</v>
      </c>
      <c r="F11" s="3">
        <v>7</v>
      </c>
      <c r="G11" s="6">
        <f t="shared" si="0"/>
        <v>33600</v>
      </c>
      <c r="H11" s="6" t="str">
        <f t="shared" si="1"/>
        <v>No Bonus</v>
      </c>
      <c r="J11" s="8">
        <v>33600</v>
      </c>
    </row>
    <row r="12" spans="1:10" x14ac:dyDescent="0.3">
      <c r="A12" s="3" t="s">
        <v>9</v>
      </c>
      <c r="B12" s="3" t="s">
        <v>21</v>
      </c>
      <c r="C12" s="3" t="s">
        <v>25</v>
      </c>
      <c r="D12" s="3">
        <v>360</v>
      </c>
      <c r="E12" s="3">
        <v>6</v>
      </c>
      <c r="F12" s="3">
        <v>5</v>
      </c>
      <c r="G12" s="6">
        <f t="shared" si="0"/>
        <v>10800</v>
      </c>
      <c r="H12" s="7">
        <f t="shared" si="1"/>
        <v>5400</v>
      </c>
      <c r="J12" s="8">
        <f t="shared" si="2"/>
        <v>16200</v>
      </c>
    </row>
    <row r="13" spans="1:10" x14ac:dyDescent="0.3">
      <c r="A13" s="3" t="s">
        <v>10</v>
      </c>
      <c r="B13" s="3" t="s">
        <v>22</v>
      </c>
      <c r="C13" s="3" t="s">
        <v>25</v>
      </c>
      <c r="D13" s="3">
        <v>450</v>
      </c>
      <c r="E13" s="3">
        <v>6.5</v>
      </c>
      <c r="F13" s="3">
        <v>6</v>
      </c>
      <c r="G13" s="6">
        <f t="shared" si="0"/>
        <v>17550</v>
      </c>
      <c r="H13" s="6">
        <f t="shared" si="1"/>
        <v>4387.5</v>
      </c>
      <c r="J13" s="8">
        <f t="shared" si="2"/>
        <v>21937.5</v>
      </c>
    </row>
    <row r="14" spans="1:10" x14ac:dyDescent="0.3">
      <c r="A14" s="3" t="s">
        <v>11</v>
      </c>
      <c r="B14" s="3" t="s">
        <v>23</v>
      </c>
      <c r="C14" s="3" t="s">
        <v>25</v>
      </c>
      <c r="D14" s="3">
        <v>680</v>
      </c>
      <c r="E14" s="3">
        <v>7</v>
      </c>
      <c r="F14" s="3">
        <v>5</v>
      </c>
      <c r="G14" s="6">
        <f t="shared" si="0"/>
        <v>23800</v>
      </c>
      <c r="H14" s="7">
        <f t="shared" si="1"/>
        <v>5950</v>
      </c>
      <c r="J14" s="8">
        <f t="shared" si="2"/>
        <v>29750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857B-2898-4E06-B31B-C0F72E587E1C}">
  <dimension ref="A18:B20"/>
  <sheetViews>
    <sheetView workbookViewId="0">
      <selection activeCell="E19" sqref="E19"/>
    </sheetView>
  </sheetViews>
  <sheetFormatPr defaultRowHeight="14.5" x14ac:dyDescent="0.35"/>
  <cols>
    <col min="1" max="1" width="25.1796875" customWidth="1"/>
  </cols>
  <sheetData>
    <row r="18" spans="1:2" ht="43.5" x14ac:dyDescent="0.35">
      <c r="A18" s="10" t="s">
        <v>36</v>
      </c>
      <c r="B18" s="9"/>
    </row>
    <row r="19" spans="1:2" ht="43.5" x14ac:dyDescent="0.35">
      <c r="A19" s="10" t="s">
        <v>37</v>
      </c>
      <c r="B19" s="9"/>
    </row>
    <row r="20" spans="1:2" ht="43.5" x14ac:dyDescent="0.35">
      <c r="A20" s="10" t="s">
        <v>38</v>
      </c>
      <c r="B20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wages</vt:lpstr>
      <vt:lpstr>Chart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2023-04-20T05:32:58Z</dcterms:created>
  <dcterms:modified xsi:type="dcterms:W3CDTF">2023-04-20T06:30:14Z</dcterms:modified>
</cp:coreProperties>
</file>