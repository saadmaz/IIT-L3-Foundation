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DF0DFCC-FAC1-4439-8F6A-77B2ABE14551}" xr6:coauthVersionLast="47" xr6:coauthVersionMax="47" xr10:uidLastSave="{00000000-0000-0000-0000-000000000000}"/>
  <bookViews>
    <workbookView xWindow="1520" yWindow="1520" windowWidth="14400" windowHeight="7270" activeTab="1" xr2:uid="{F7D226DD-3E24-45EB-8170-6CCD095230E0}"/>
  </bookViews>
  <sheets>
    <sheet name="Sheet1" sheetId="1" r:id="rId1"/>
    <sheet name="Activity 3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3" i="2"/>
  <c r="D12" i="2"/>
  <c r="E11" i="2"/>
  <c r="C10" i="2"/>
  <c r="G4" i="2"/>
  <c r="G5" i="2"/>
  <c r="G6" i="2"/>
  <c r="G7" i="2"/>
  <c r="G8" i="2"/>
  <c r="G9" i="2"/>
  <c r="G3" i="2"/>
  <c r="F4" i="2"/>
  <c r="F5" i="2"/>
  <c r="F6" i="2"/>
  <c r="F7" i="2"/>
  <c r="F8" i="2"/>
  <c r="F9" i="2"/>
  <c r="F3" i="2"/>
  <c r="D3" i="1"/>
  <c r="D4" i="1"/>
  <c r="D5" i="1"/>
  <c r="D6" i="1"/>
  <c r="D7" i="1"/>
  <c r="D8" i="1"/>
  <c r="D2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<sst xmlns="http://schemas.openxmlformats.org/spreadsheetml/2006/main" count="30" uniqueCount="28">
  <si>
    <t xml:space="preserve">First name </t>
  </si>
  <si>
    <t>Age</t>
  </si>
  <si>
    <t xml:space="preserve">Adult or Child </t>
  </si>
  <si>
    <t xml:space="preserve">Gayan </t>
  </si>
  <si>
    <t xml:space="preserve">Sunendra </t>
  </si>
  <si>
    <t>Pavika</t>
  </si>
  <si>
    <t xml:space="preserve">Nirmali </t>
  </si>
  <si>
    <t>Jane</t>
  </si>
  <si>
    <t xml:space="preserve">Hasheed </t>
  </si>
  <si>
    <t xml:space="preserve">Akalanka </t>
  </si>
  <si>
    <t>Adult</t>
  </si>
  <si>
    <t>Child</t>
  </si>
  <si>
    <t>Age&gt;=18</t>
  </si>
  <si>
    <t xml:space="preserve">Student name </t>
  </si>
  <si>
    <t>Jake Finn</t>
  </si>
  <si>
    <t>Miranda Lawson</t>
  </si>
  <si>
    <t>Sherry Michel</t>
  </si>
  <si>
    <t>Vivica de Silva</t>
  </si>
  <si>
    <t>Kim Johnson</t>
  </si>
  <si>
    <t xml:space="preserve">Katie Stark </t>
  </si>
  <si>
    <t>Susan Brown</t>
  </si>
  <si>
    <t xml:space="preserve">Maths </t>
  </si>
  <si>
    <t xml:space="preserve">English </t>
  </si>
  <si>
    <t xml:space="preserve">IT </t>
  </si>
  <si>
    <t xml:space="preserve">Subjects </t>
  </si>
  <si>
    <t>#</t>
  </si>
  <si>
    <t>Total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</si>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</sst>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B009-6F0C-4F55-8EEA-EC48901B41F2}">
  <dimension ref="A1:I8"/>
  <sheetViews>
    <sheetView workbookViewId="0">
      <selection activeCell="D6" sqref="D6"/>
    </sheetView>
  </sheetViews>
  <sheetFormatPr defaultRowHeight="14.5" x14ac:dyDescent="0.35"/>
  <cols>
    <col min="1" max="1" width="16.1796875" customWidth="1"/>
    <col min="3" max="3" width="12.90625" customWidth="1"/>
  </cols>
  <sheetData>
    <row r="1" spans="1:9" x14ac:dyDescent="0.35">
      <c r="A1" t="s">
        <v>0</v>
      </c>
      <c r="B1" t="s">
        <v>1</v>
      </c>
      <c r="C1" t="s">
        <v>2</v>
      </c>
      <c r="G1">
        <v>18</v>
      </c>
      <c r="H1" t="s">
        <v>10</v>
      </c>
      <c r="I1" t="s">
        <v>11</v>
      </c>
    </row>
    <row r="2" spans="1:9" x14ac:dyDescent="0.35">
      <c r="A2" t="s">
        <v>3</v>
      </c>
      <c r="B2">
        <v>25</v>
      </c>
      <c r="C2" t="str">
        <f>IF($B2&gt;=$G$1,$H$1,$I$1)</f>
        <v>Adult</v>
      </c>
      <c r="D2" t="str">
        <f>IF(B2&gt;=18, "Adult","Child")</f>
        <v>Adult</v>
      </c>
    </row>
    <row r="3" spans="1:9" x14ac:dyDescent="0.35">
      <c r="A3" t="s">
        <v>4</v>
      </c>
      <c r="B3">
        <v>12</v>
      </c>
      <c r="C3" t="str">
        <f t="shared" ref="C3:C8" si="0">IF($B3&gt;=$G$1,$H$1,$I$1)</f>
        <v>Child</v>
      </c>
      <c r="D3" t="str">
        <f t="shared" ref="D3:D8" si="1">IF(B3&gt;=18, "Adult","Child")</f>
        <v>Child</v>
      </c>
      <c r="G3" t="s">
        <v>12</v>
      </c>
      <c r="H3" t="s">
        <v>10</v>
      </c>
    </row>
    <row r="4" spans="1:9" x14ac:dyDescent="0.35">
      <c r="A4" t="s">
        <v>5</v>
      </c>
      <c r="B4">
        <v>23</v>
      </c>
      <c r="C4" t="str">
        <f t="shared" si="0"/>
        <v>Adult</v>
      </c>
      <c r="D4" t="str">
        <f t="shared" si="1"/>
        <v>Adult</v>
      </c>
      <c r="H4" t="s">
        <v>11</v>
      </c>
    </row>
    <row r="5" spans="1:9" x14ac:dyDescent="0.35">
      <c r="A5" t="s">
        <v>6</v>
      </c>
      <c r="B5">
        <v>40</v>
      </c>
      <c r="C5" t="str">
        <f t="shared" si="0"/>
        <v>Adult</v>
      </c>
      <c r="D5" t="str">
        <f t="shared" si="1"/>
        <v>Adult</v>
      </c>
    </row>
    <row r="6" spans="1:9" x14ac:dyDescent="0.35">
      <c r="A6" t="s">
        <v>7</v>
      </c>
      <c r="B6">
        <v>18</v>
      </c>
      <c r="C6" t="str">
        <f t="shared" si="0"/>
        <v>Adult</v>
      </c>
      <c r="D6" t="str">
        <f t="shared" si="1"/>
        <v>Adult</v>
      </c>
    </row>
    <row r="7" spans="1:9" x14ac:dyDescent="0.35">
      <c r="A7" t="s">
        <v>8</v>
      </c>
      <c r="B7">
        <v>17</v>
      </c>
      <c r="C7" t="str">
        <f t="shared" si="0"/>
        <v>Child</v>
      </c>
      <c r="D7" t="str">
        <f t="shared" si="1"/>
        <v>Child</v>
      </c>
    </row>
    <row r="8" spans="1:9" x14ac:dyDescent="0.35">
      <c r="A8" t="s">
        <v>9</v>
      </c>
      <c r="B8">
        <v>19</v>
      </c>
      <c r="C8" t="str">
        <f t="shared" si="0"/>
        <v>Adult</v>
      </c>
      <c r="D8" t="str">
        <f t="shared" si="1"/>
        <v>Adult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79A4-2008-44DF-9EA3-1EC76124A513}">
  <dimension ref="A1:H12"/>
  <sheetViews>
    <sheetView tabSelected="1" workbookViewId="0">
      <selection activeCell="G3" sqref="G3"/>
    </sheetView>
  </sheetViews>
  <sheetFormatPr defaultRowHeight="14.5" x14ac:dyDescent="0.35"/>
  <cols>
    <col min="2" max="2" width="17.453125" customWidth="1"/>
  </cols>
  <sheetData>
    <row r="1" spans="1:8" x14ac:dyDescent="0.35">
      <c r="A1" s="2" t="s">
        <v>25</v>
      </c>
      <c r="B1" s="2" t="s">
        <v>13</v>
      </c>
      <c r="C1" s="2" t="s">
        <v>24</v>
      </c>
      <c r="D1" s="2"/>
      <c r="E1" s="2"/>
      <c r="F1" s="1"/>
    </row>
    <row r="2" spans="1:8" x14ac:dyDescent="0.35">
      <c r="A2" s="2"/>
      <c r="B2" s="2"/>
      <c r="C2" s="1" t="s">
        <v>21</v>
      </c>
      <c r="D2" s="1" t="s">
        <v>22</v>
      </c>
      <c r="E2" s="1" t="s">
        <v>23</v>
      </c>
      <c r="F2" s="1" t="s">
        <v>26</v>
      </c>
      <c r="G2" s="1" t="s">
        <v>27</v>
      </c>
    </row>
    <row r="3" spans="1:8" x14ac:dyDescent="0.35">
      <c r="A3">
        <v>1</v>
      </c>
      <c r="B3" t="s">
        <v>14</v>
      </c>
      <c r="C3">
        <v>52</v>
      </c>
      <c r="D3">
        <v>56</v>
      </c>
      <c r="E3">
        <v>65</v>
      </c>
      <c r="F3">
        <f>SUM(C3:E3)</f>
        <v>173</v>
      </c>
      <c r="G3">
        <f>AVERAGE(C3:E3)</f>
        <v>57.666666666666664</v>
      </c>
      <c r="H3" t="str">
        <f>IF(G3&gt;=50, "Pass","Fail")</f>
        <v>Pass</v>
      </c>
    </row>
    <row r="4" spans="1:8" x14ac:dyDescent="0.35">
      <c r="A4">
        <v>2</v>
      </c>
      <c r="B4" t="s">
        <v>15</v>
      </c>
      <c r="C4">
        <v>69</v>
      </c>
      <c r="D4">
        <v>45</v>
      </c>
      <c r="E4">
        <v>23</v>
      </c>
      <c r="F4">
        <f t="shared" ref="F4:F9" si="0">SUM(C4:E4)</f>
        <v>137</v>
      </c>
      <c r="G4">
        <f t="shared" ref="G4:G9" si="1">AVERAGE(C4:E4)</f>
        <v>45.666666666666664</v>
      </c>
      <c r="H4" t="str">
        <f t="shared" ref="H4:H9" si="2">IF(G4&gt;=50, "Pass","Fail")</f>
        <v>Fail</v>
      </c>
    </row>
    <row r="5" spans="1:8" x14ac:dyDescent="0.35">
      <c r="A5">
        <v>3</v>
      </c>
      <c r="B5" t="s">
        <v>16</v>
      </c>
      <c r="C5">
        <v>23</v>
      </c>
      <c r="D5">
        <v>23</v>
      </c>
      <c r="E5">
        <v>24</v>
      </c>
      <c r="F5">
        <f t="shared" si="0"/>
        <v>70</v>
      </c>
      <c r="G5">
        <f t="shared" si="1"/>
        <v>23.333333333333332</v>
      </c>
      <c r="H5" t="str">
        <f t="shared" si="2"/>
        <v>Fail</v>
      </c>
    </row>
    <row r="6" spans="1:8" x14ac:dyDescent="0.35">
      <c r="A6">
        <v>4</v>
      </c>
      <c r="B6" t="s">
        <v>17</v>
      </c>
      <c r="C6">
        <v>54</v>
      </c>
      <c r="D6">
        <v>55</v>
      </c>
      <c r="E6">
        <v>55</v>
      </c>
      <c r="F6">
        <f t="shared" si="0"/>
        <v>164</v>
      </c>
      <c r="G6">
        <f t="shared" si="1"/>
        <v>54.666666666666664</v>
      </c>
      <c r="H6" t="str">
        <f t="shared" si="2"/>
        <v>Pass</v>
      </c>
    </row>
    <row r="7" spans="1:8" x14ac:dyDescent="0.35">
      <c r="A7">
        <v>5</v>
      </c>
      <c r="B7" t="s">
        <v>18</v>
      </c>
      <c r="C7">
        <v>30</v>
      </c>
      <c r="D7">
        <v>69</v>
      </c>
      <c r="E7">
        <v>59</v>
      </c>
      <c r="F7">
        <f t="shared" si="0"/>
        <v>158</v>
      </c>
      <c r="G7">
        <f t="shared" si="1"/>
        <v>52.666666666666664</v>
      </c>
      <c r="H7" t="str">
        <f t="shared" si="2"/>
        <v>Pass</v>
      </c>
    </row>
    <row r="8" spans="1:8" x14ac:dyDescent="0.35">
      <c r="A8">
        <v>6</v>
      </c>
      <c r="B8" t="s">
        <v>19</v>
      </c>
      <c r="C8">
        <v>80</v>
      </c>
      <c r="D8">
        <v>78</v>
      </c>
      <c r="E8">
        <v>44</v>
      </c>
      <c r="F8">
        <f t="shared" si="0"/>
        <v>202</v>
      </c>
      <c r="G8">
        <f t="shared" si="1"/>
        <v>67.333333333333329</v>
      </c>
      <c r="H8" t="str">
        <f t="shared" si="2"/>
        <v>Pass</v>
      </c>
    </row>
    <row r="9" spans="1:8" x14ac:dyDescent="0.35">
      <c r="A9">
        <v>7</v>
      </c>
      <c r="B9" t="s">
        <v>20</v>
      </c>
      <c r="C9">
        <v>55</v>
      </c>
      <c r="D9">
        <v>55</v>
      </c>
      <c r="E9">
        <v>35</v>
      </c>
      <c r="F9">
        <f t="shared" si="0"/>
        <v>145</v>
      </c>
      <c r="G9">
        <f t="shared" si="1"/>
        <v>48.333333333333336</v>
      </c>
      <c r="H9" t="str">
        <f t="shared" si="2"/>
        <v>Fail</v>
      </c>
    </row>
    <row r="10" spans="1:8" x14ac:dyDescent="0.35">
      <c r="C10">
        <f>MAX(C3:C9)</f>
        <v>80</v>
      </c>
    </row>
    <row r="11" spans="1:8" x14ac:dyDescent="0.35">
      <c r="E11">
        <f>MIN(E3:E9)</f>
        <v>23</v>
      </c>
    </row>
    <row r="12" spans="1:8" x14ac:dyDescent="0.35">
      <c r="D12">
        <f>COUNT(D3:D9)</f>
        <v>7</v>
      </c>
    </row>
  </sheetData>
  <mergeCells count="3">
    <mergeCell ref="B1:B2"/>
    <mergeCell ref="C1:E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Activity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2023-03-09T10:09:33Z</dcterms:created>
  <dcterms:modified xsi:type="dcterms:W3CDTF">2023-03-27T05:10:00Z</dcterms:modified>
</cp:coreProperties>
</file>