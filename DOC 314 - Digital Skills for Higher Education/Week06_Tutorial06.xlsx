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1A1C564-2819-4BE4-8FE2-47C16CD27438}" xr6:coauthVersionLast="47" xr6:coauthVersionMax="47" xr10:uidLastSave="{00000000-0000-0000-0000-000000000000}"/>
  <bookViews>
    <workbookView xWindow="1900" yWindow="1900" windowWidth="14400" windowHeight="7270" activeTab="3" xr2:uid="{649C2320-4E4F-486C-AA59-AC83BB489987}"/>
  </bookViews>
  <sheets>
    <sheet name="Activity 1" sheetId="1" r:id="rId1"/>
    <sheet name="Activity 2" sheetId="2" r:id="rId2"/>
    <sheet name="Activity 3" sheetId="3" r:id="rId3"/>
    <sheet name="Sheet4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2" i="4"/>
  <c r="G3" i="4"/>
  <c r="G4" i="4"/>
  <c r="G5" i="4"/>
  <c r="G6" i="4"/>
  <c r="G7" i="4"/>
  <c r="G8" i="4"/>
  <c r="G2" i="4"/>
  <c r="F3" i="4"/>
  <c r="F4" i="4"/>
  <c r="F5" i="4"/>
  <c r="F6" i="4"/>
  <c r="F7" i="4"/>
  <c r="F8" i="4"/>
  <c r="F2" i="4"/>
  <c r="D3" i="4"/>
  <c r="D4" i="4"/>
  <c r="D5" i="4"/>
  <c r="D6" i="4"/>
  <c r="D7" i="4"/>
  <c r="D8" i="4"/>
  <c r="D2" i="4"/>
  <c r="E3" i="4"/>
  <c r="E4" i="4"/>
  <c r="E5" i="4"/>
  <c r="E6" i="4"/>
  <c r="E7" i="4"/>
  <c r="E8" i="4"/>
  <c r="E2" i="4"/>
  <c r="C12" i="3"/>
  <c r="D12" i="3"/>
  <c r="B12" i="3"/>
  <c r="E5" i="3"/>
  <c r="E6" i="3"/>
  <c r="E7" i="3"/>
  <c r="E8" i="3"/>
  <c r="E9" i="3"/>
  <c r="E10" i="3"/>
  <c r="E4" i="3"/>
  <c r="D5" i="3"/>
  <c r="D6" i="3"/>
  <c r="D7" i="3"/>
  <c r="D8" i="3"/>
  <c r="D9" i="3"/>
  <c r="D10" i="3"/>
  <c r="D4" i="3"/>
  <c r="I4" i="2"/>
  <c r="I5" i="2"/>
  <c r="I6" i="2"/>
  <c r="I7" i="2"/>
  <c r="I8" i="2"/>
  <c r="I3" i="2"/>
  <c r="D10" i="2"/>
  <c r="E10" i="2"/>
  <c r="F10" i="2"/>
  <c r="D11" i="2"/>
  <c r="E11" i="2"/>
  <c r="F11" i="2"/>
  <c r="C11" i="2"/>
  <c r="C10" i="2"/>
  <c r="H4" i="2"/>
  <c r="H5" i="2"/>
  <c r="H6" i="2"/>
  <c r="H7" i="2"/>
  <c r="H8" i="2"/>
  <c r="H3" i="2"/>
  <c r="D9" i="2"/>
  <c r="E9" i="2"/>
  <c r="F9" i="2"/>
  <c r="C9" i="2"/>
  <c r="G4" i="2"/>
  <c r="G5" i="2"/>
  <c r="G6" i="2"/>
  <c r="G7" i="2"/>
  <c r="G8" i="2"/>
  <c r="G3" i="2"/>
  <c r="B10" i="1"/>
  <c r="C9" i="1"/>
  <c r="D9" i="1"/>
  <c r="E9" i="1"/>
  <c r="B9" i="1"/>
  <c r="C8" i="1"/>
  <c r="D8" i="1"/>
  <c r="E8" i="1"/>
  <c r="B8" i="1"/>
  <c r="F6" i="1"/>
  <c r="F5" i="1"/>
  <c r="F7" i="1"/>
  <c r="F4" i="1"/>
</calcChain>
</file>

<file path=xl/sharedStrings.xml><?xml version="1.0" encoding="utf-8"?>
<sst xmlns="http://schemas.openxmlformats.org/spreadsheetml/2006/main" count="65" uniqueCount="62">
  <si>
    <t>Petty Cash Records</t>
  </si>
  <si>
    <t>Milk</t>
  </si>
  <si>
    <t>Postage</t>
  </si>
  <si>
    <t>Stationery</t>
  </si>
  <si>
    <t>Week 1</t>
  </si>
  <si>
    <t>Week 2</t>
  </si>
  <si>
    <t>Week 4</t>
  </si>
  <si>
    <t>Monthly Total</t>
  </si>
  <si>
    <t xml:space="preserve">Weekly Total </t>
  </si>
  <si>
    <t>Week 3</t>
  </si>
  <si>
    <t xml:space="preserve">Coffee </t>
  </si>
  <si>
    <t>Yearly Estimate</t>
  </si>
  <si>
    <t xml:space="preserve">Grand Total </t>
  </si>
  <si>
    <t>Items</t>
  </si>
  <si>
    <t>Price</t>
  </si>
  <si>
    <t>Number sold</t>
  </si>
  <si>
    <t xml:space="preserve">Week 1 </t>
  </si>
  <si>
    <t xml:space="preserve">Total Sold </t>
  </si>
  <si>
    <t xml:space="preserve">Sales </t>
  </si>
  <si>
    <t>Mars Bar</t>
  </si>
  <si>
    <t>Snicker</t>
  </si>
  <si>
    <t>Fuse</t>
  </si>
  <si>
    <t>KitKat</t>
  </si>
  <si>
    <t>Bounty</t>
  </si>
  <si>
    <t>Wispa</t>
  </si>
  <si>
    <t>Total Sold per Week</t>
  </si>
  <si>
    <t>Maximum Sold</t>
  </si>
  <si>
    <t>Minimum Sold</t>
  </si>
  <si>
    <t>Sales in Euros</t>
  </si>
  <si>
    <t>Expenses for the month of January vs. Budget</t>
  </si>
  <si>
    <t>Salaries and wages</t>
  </si>
  <si>
    <t>Rent</t>
  </si>
  <si>
    <t>Electricity</t>
  </si>
  <si>
    <t>Telephone</t>
  </si>
  <si>
    <t>Advertisements</t>
  </si>
  <si>
    <t>Freight and clering</t>
  </si>
  <si>
    <t xml:space="preserve">Security </t>
  </si>
  <si>
    <t>Budget</t>
  </si>
  <si>
    <t>Savings</t>
  </si>
  <si>
    <t>Actual</t>
  </si>
  <si>
    <t>Saving %</t>
  </si>
  <si>
    <t xml:space="preserve">Total </t>
  </si>
  <si>
    <t xml:space="preserve">ID </t>
  </si>
  <si>
    <t>HRS/Month</t>
  </si>
  <si>
    <t>Due Loans</t>
  </si>
  <si>
    <t>Bonus</t>
  </si>
  <si>
    <t xml:space="preserve">Gross Salary </t>
  </si>
  <si>
    <t xml:space="preserve">Net Salary </t>
  </si>
  <si>
    <t xml:space="preserve">Payee Tax </t>
  </si>
  <si>
    <t xml:space="preserve">Remaining Salary </t>
  </si>
  <si>
    <t>Rate per Hour</t>
  </si>
  <si>
    <t>Bob</t>
  </si>
  <si>
    <t>Condition 1</t>
  </si>
  <si>
    <t>Condition 2</t>
  </si>
  <si>
    <t>Condition 3</t>
  </si>
  <si>
    <t>Condition 4</t>
  </si>
  <si>
    <t xml:space="preserve">Condition 5 </t>
  </si>
  <si>
    <t>Test score &gt; 69, C</t>
  </si>
  <si>
    <t>Test score &gt; 79, B</t>
  </si>
  <si>
    <t>Test score &gt; 89, A</t>
  </si>
  <si>
    <t>Test score &gt; 59, D</t>
  </si>
  <si>
    <t>else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</si>
</sst>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"/>
    <numFmt numFmtId="165" formatCode="[$Rs.-849]\ #,##0.00"/>
    <numFmt numFmtId="166" formatCode="[$£-491]#,##0.00"/>
    <numFmt numFmtId="167" formatCode="_([$€-2]\ * #,##0.00_);_([$€-2]\ * \(#,##0.00\);_([$€-2]\ 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mic Sans MS"/>
      <family val="4"/>
    </font>
    <font>
      <b/>
      <sz val="12"/>
      <color theme="1"/>
      <name val="Comic Sans MS"/>
      <family val="4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166" fontId="0" fillId="0" borderId="0" xfId="0" applyNumberFormat="1"/>
    <xf numFmtId="1" fontId="0" fillId="0" borderId="0" xfId="0" applyNumberFormat="1"/>
    <xf numFmtId="0" fontId="1" fillId="0" borderId="0" xfId="0" applyFont="1"/>
    <xf numFmtId="166" fontId="1" fillId="0" borderId="0" xfId="0" applyNumberFormat="1" applyFont="1"/>
    <xf numFmtId="167" fontId="0" fillId="0" borderId="0" xfId="0" applyNumberFormat="1"/>
    <xf numFmtId="164" fontId="1" fillId="0" borderId="0" xfId="0" applyNumberFormat="1" applyFont="1"/>
    <xf numFmtId="43" fontId="0" fillId="0" borderId="0" xfId="0" applyNumberFormat="1"/>
    <xf numFmtId="0" fontId="4" fillId="0" borderId="0" xfId="0" applyFon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D87E-9EE2-4970-8929-099B2F3C3DB6}">
  <dimension ref="A1:F10"/>
  <sheetViews>
    <sheetView workbookViewId="0">
      <selection activeCell="A11" sqref="A11"/>
    </sheetView>
  </sheetViews>
  <sheetFormatPr defaultRowHeight="18" x14ac:dyDescent="0.5"/>
  <cols>
    <col min="1" max="6" width="15.6328125" style="2" customWidth="1"/>
    <col min="7" max="16384" width="8.7265625" style="2"/>
  </cols>
  <sheetData>
    <row r="1" spans="1:6" ht="39" x14ac:dyDescent="0.6">
      <c r="A1" s="7" t="s">
        <v>0</v>
      </c>
      <c r="B1" s="3"/>
      <c r="C1" s="3"/>
      <c r="D1" s="3"/>
      <c r="E1" s="3"/>
      <c r="F1" s="3"/>
    </row>
    <row r="2" spans="1:6" ht="19.5" x14ac:dyDescent="0.6">
      <c r="A2" s="3"/>
      <c r="B2" s="3"/>
      <c r="C2" s="3"/>
      <c r="D2" s="3"/>
      <c r="E2" s="3"/>
      <c r="F2" s="3"/>
    </row>
    <row r="3" spans="1:6" ht="19.5" x14ac:dyDescent="0.6">
      <c r="A3" s="3"/>
      <c r="B3" s="3" t="s">
        <v>1</v>
      </c>
      <c r="C3" s="3" t="s">
        <v>10</v>
      </c>
      <c r="D3" s="3" t="s">
        <v>2</v>
      </c>
      <c r="E3" s="3" t="s">
        <v>3</v>
      </c>
      <c r="F3" s="3" t="s">
        <v>8</v>
      </c>
    </row>
    <row r="4" spans="1:6" ht="19.5" x14ac:dyDescent="0.6">
      <c r="A4" s="4" t="s">
        <v>4</v>
      </c>
      <c r="B4" s="5">
        <v>2.5</v>
      </c>
      <c r="C4" s="5">
        <v>4.3</v>
      </c>
      <c r="D4" s="5">
        <v>3</v>
      </c>
      <c r="E4" s="5">
        <v>15</v>
      </c>
      <c r="F4" s="5">
        <f>SUM(B4:E4)</f>
        <v>24.8</v>
      </c>
    </row>
    <row r="5" spans="1:6" ht="19.5" x14ac:dyDescent="0.6">
      <c r="A5" s="4" t="s">
        <v>5</v>
      </c>
      <c r="B5" s="5">
        <v>1.9</v>
      </c>
      <c r="C5" s="5">
        <v>3.5</v>
      </c>
      <c r="D5" s="5">
        <v>5</v>
      </c>
      <c r="E5" s="5">
        <v>22</v>
      </c>
      <c r="F5" s="5">
        <f>SUM(B5:E5)</f>
        <v>32.4</v>
      </c>
    </row>
    <row r="6" spans="1:6" ht="19.5" x14ac:dyDescent="0.6">
      <c r="A6" s="4" t="s">
        <v>9</v>
      </c>
      <c r="B6" s="5">
        <v>3</v>
      </c>
      <c r="C6" s="5">
        <v>0</v>
      </c>
      <c r="D6" s="5">
        <v>4</v>
      </c>
      <c r="E6" s="5">
        <v>5</v>
      </c>
      <c r="F6" s="5">
        <f>SUM(B6:E6)</f>
        <v>12</v>
      </c>
    </row>
    <row r="7" spans="1:6" ht="19.5" x14ac:dyDescent="0.6">
      <c r="A7" s="4" t="s">
        <v>6</v>
      </c>
      <c r="B7" s="5">
        <v>2.8</v>
      </c>
      <c r="C7" s="5">
        <v>5.2</v>
      </c>
      <c r="D7" s="5">
        <v>2.5</v>
      </c>
      <c r="E7" s="5">
        <v>5</v>
      </c>
      <c r="F7" s="5">
        <f>SUM(B7:E7)</f>
        <v>15.5</v>
      </c>
    </row>
    <row r="8" spans="1:6" ht="39" x14ac:dyDescent="0.6">
      <c r="A8" s="8" t="s">
        <v>7</v>
      </c>
      <c r="B8" s="5">
        <f>SUM(B4:B7)</f>
        <v>10.199999999999999</v>
      </c>
      <c r="C8" s="5">
        <f>SUM(C4:C7)</f>
        <v>13</v>
      </c>
      <c r="D8" s="5">
        <f t="shared" ref="D8:E8" si="0">SUM(D4:D7)</f>
        <v>14.5</v>
      </c>
      <c r="E8" s="5">
        <f t="shared" si="0"/>
        <v>47</v>
      </c>
      <c r="F8" s="6"/>
    </row>
    <row r="9" spans="1:6" ht="39" x14ac:dyDescent="0.6">
      <c r="A9" s="8" t="s">
        <v>11</v>
      </c>
      <c r="B9" s="5">
        <f>SUM(B8*12)</f>
        <v>122.39999999999999</v>
      </c>
      <c r="C9" s="5">
        <f t="shared" ref="C9:E9" si="1">SUM(C8*12)</f>
        <v>156</v>
      </c>
      <c r="D9" s="5">
        <f t="shared" si="1"/>
        <v>174</v>
      </c>
      <c r="E9" s="5">
        <f t="shared" si="1"/>
        <v>564</v>
      </c>
      <c r="F9" s="6"/>
    </row>
    <row r="10" spans="1:6" ht="19.5" x14ac:dyDescent="0.6">
      <c r="A10" s="4" t="s">
        <v>12</v>
      </c>
      <c r="B10" s="5">
        <f>SUM(B9:E9)</f>
        <v>1016.4</v>
      </c>
      <c r="C10" s="6"/>
      <c r="D10" s="6"/>
      <c r="E10" s="6"/>
      <c r="F10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3D18-76A8-411D-B771-D39FA6380F71}">
  <dimension ref="A1:I11"/>
  <sheetViews>
    <sheetView workbookViewId="0">
      <selection activeCell="H9" sqref="H9"/>
    </sheetView>
  </sheetViews>
  <sheetFormatPr defaultRowHeight="14.5" x14ac:dyDescent="0.35"/>
  <cols>
    <col min="1" max="1" width="13.26953125" customWidth="1"/>
    <col min="2" max="2" width="8.7265625" style="10"/>
  </cols>
  <sheetData>
    <row r="1" spans="1:9" x14ac:dyDescent="0.35">
      <c r="A1" s="12" t="s">
        <v>13</v>
      </c>
      <c r="B1" s="13" t="s">
        <v>14</v>
      </c>
      <c r="C1" s="19" t="s">
        <v>15</v>
      </c>
      <c r="D1" s="19"/>
      <c r="E1" s="19"/>
      <c r="F1" s="19"/>
      <c r="G1" s="12" t="s">
        <v>17</v>
      </c>
      <c r="H1" s="12" t="s">
        <v>18</v>
      </c>
      <c r="I1" s="12" t="s">
        <v>28</v>
      </c>
    </row>
    <row r="2" spans="1:9" x14ac:dyDescent="0.35">
      <c r="A2" s="12"/>
      <c r="B2" s="13"/>
      <c r="C2" s="12" t="s">
        <v>16</v>
      </c>
      <c r="D2" s="12" t="s">
        <v>5</v>
      </c>
      <c r="E2" s="12" t="s">
        <v>9</v>
      </c>
      <c r="F2" s="12" t="s">
        <v>6</v>
      </c>
      <c r="G2" s="12"/>
      <c r="H2" s="12"/>
    </row>
    <row r="3" spans="1:9" x14ac:dyDescent="0.35">
      <c r="A3" t="s">
        <v>19</v>
      </c>
      <c r="B3" s="10">
        <v>0.28999999999999998</v>
      </c>
      <c r="C3">
        <v>55</v>
      </c>
      <c r="D3">
        <v>72</v>
      </c>
      <c r="E3">
        <v>65</v>
      </c>
      <c r="F3">
        <v>70</v>
      </c>
      <c r="G3">
        <f>SUM(C3:F3)</f>
        <v>262</v>
      </c>
      <c r="H3" s="11">
        <f>SUM(G3*B3)</f>
        <v>75.97999999999999</v>
      </c>
      <c r="I3" s="14">
        <f>SUM(H3*0.6)</f>
        <v>45.587999999999994</v>
      </c>
    </row>
    <row r="4" spans="1:9" x14ac:dyDescent="0.35">
      <c r="A4" t="s">
        <v>20</v>
      </c>
      <c r="B4" s="10">
        <v>0.32</v>
      </c>
      <c r="C4">
        <v>38</v>
      </c>
      <c r="D4">
        <v>62</v>
      </c>
      <c r="E4">
        <v>44</v>
      </c>
      <c r="F4">
        <v>59</v>
      </c>
      <c r="G4">
        <f t="shared" ref="G4:G8" si="0">SUM(C4:F4)</f>
        <v>203</v>
      </c>
      <c r="H4" s="11">
        <f t="shared" ref="H4:H8" si="1">SUM(G4*B4)</f>
        <v>64.960000000000008</v>
      </c>
      <c r="I4" s="14">
        <f t="shared" ref="I4:I8" si="2">SUM(H4*0.6)</f>
        <v>38.976000000000006</v>
      </c>
    </row>
    <row r="5" spans="1:9" x14ac:dyDescent="0.35">
      <c r="A5" t="s">
        <v>21</v>
      </c>
      <c r="B5" s="10">
        <v>0.3</v>
      </c>
      <c r="C5">
        <v>122</v>
      </c>
      <c r="D5">
        <v>54</v>
      </c>
      <c r="E5">
        <v>98</v>
      </c>
      <c r="F5">
        <v>84</v>
      </c>
      <c r="G5">
        <f t="shared" si="0"/>
        <v>358</v>
      </c>
      <c r="H5" s="11">
        <f t="shared" si="1"/>
        <v>107.39999999999999</v>
      </c>
      <c r="I5" s="14">
        <f t="shared" si="2"/>
        <v>64.44</v>
      </c>
    </row>
    <row r="6" spans="1:9" x14ac:dyDescent="0.35">
      <c r="A6" t="s">
        <v>22</v>
      </c>
      <c r="B6" s="10">
        <v>0.28999999999999998</v>
      </c>
      <c r="C6">
        <v>98</v>
      </c>
      <c r="D6">
        <v>115</v>
      </c>
      <c r="E6">
        <v>90</v>
      </c>
      <c r="F6">
        <v>101</v>
      </c>
      <c r="G6">
        <f t="shared" si="0"/>
        <v>404</v>
      </c>
      <c r="H6" s="11">
        <f t="shared" si="1"/>
        <v>117.16</v>
      </c>
      <c r="I6" s="14">
        <f t="shared" si="2"/>
        <v>70.295999999999992</v>
      </c>
    </row>
    <row r="7" spans="1:9" x14ac:dyDescent="0.35">
      <c r="A7" t="s">
        <v>23</v>
      </c>
      <c r="B7" s="10">
        <v>0.34</v>
      </c>
      <c r="C7">
        <v>65</v>
      </c>
      <c r="D7">
        <v>83</v>
      </c>
      <c r="E7">
        <v>65</v>
      </c>
      <c r="F7">
        <v>79</v>
      </c>
      <c r="G7">
        <f t="shared" si="0"/>
        <v>292</v>
      </c>
      <c r="H7" s="11">
        <f t="shared" si="1"/>
        <v>99.28</v>
      </c>
      <c r="I7" s="14">
        <f t="shared" si="2"/>
        <v>59.567999999999998</v>
      </c>
    </row>
    <row r="8" spans="1:9" x14ac:dyDescent="0.35">
      <c r="A8" t="s">
        <v>24</v>
      </c>
      <c r="B8" s="10">
        <v>0.31</v>
      </c>
      <c r="C8">
        <v>48</v>
      </c>
      <c r="D8">
        <v>52</v>
      </c>
      <c r="E8">
        <v>35</v>
      </c>
      <c r="F8">
        <v>67</v>
      </c>
      <c r="G8">
        <f t="shared" si="0"/>
        <v>202</v>
      </c>
      <c r="H8" s="11">
        <f t="shared" si="1"/>
        <v>62.62</v>
      </c>
      <c r="I8" s="14">
        <f t="shared" si="2"/>
        <v>37.571999999999996</v>
      </c>
    </row>
    <row r="9" spans="1:9" ht="29" x14ac:dyDescent="0.35">
      <c r="A9" s="9" t="s">
        <v>25</v>
      </c>
      <c r="C9">
        <f>SUM(C3:C8)</f>
        <v>426</v>
      </c>
      <c r="D9">
        <f t="shared" ref="D9:F9" si="3">SUM(D3:D8)</f>
        <v>438</v>
      </c>
      <c r="E9">
        <f t="shared" si="3"/>
        <v>397</v>
      </c>
      <c r="F9">
        <f t="shared" si="3"/>
        <v>460</v>
      </c>
    </row>
    <row r="10" spans="1:9" x14ac:dyDescent="0.35">
      <c r="A10" t="s">
        <v>27</v>
      </c>
      <c r="C10">
        <f>MIN(C3:C8)</f>
        <v>38</v>
      </c>
      <c r="D10">
        <f t="shared" ref="D10:F10" si="4">MIN(D3:D8)</f>
        <v>52</v>
      </c>
      <c r="E10">
        <f t="shared" si="4"/>
        <v>35</v>
      </c>
      <c r="F10">
        <f t="shared" si="4"/>
        <v>59</v>
      </c>
    </row>
    <row r="11" spans="1:9" x14ac:dyDescent="0.35">
      <c r="A11" t="s">
        <v>26</v>
      </c>
      <c r="C11">
        <f>MAX(C3:C8)</f>
        <v>122</v>
      </c>
      <c r="D11">
        <f t="shared" ref="D11:F11" si="5">MAX(D3:D8)</f>
        <v>115</v>
      </c>
      <c r="E11">
        <f t="shared" si="5"/>
        <v>98</v>
      </c>
      <c r="F11">
        <f t="shared" si="5"/>
        <v>101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55DB-7AEC-4017-BAE3-5D31E1889184}">
  <dimension ref="A1:E12"/>
  <sheetViews>
    <sheetView workbookViewId="0">
      <selection activeCell="E10" sqref="E10"/>
    </sheetView>
  </sheetViews>
  <sheetFormatPr defaultRowHeight="14.5" x14ac:dyDescent="0.35"/>
  <cols>
    <col min="1" max="1" width="23.54296875" customWidth="1"/>
    <col min="2" max="4" width="15.6328125" style="1" customWidth="1"/>
    <col min="5" max="5" width="15.6328125" customWidth="1"/>
  </cols>
  <sheetData>
    <row r="1" spans="1:5" ht="22" x14ac:dyDescent="0.65">
      <c r="A1" s="17" t="s">
        <v>29</v>
      </c>
    </row>
    <row r="3" spans="1:5" x14ac:dyDescent="0.35">
      <c r="B3" s="15" t="s">
        <v>37</v>
      </c>
      <c r="C3" s="15" t="s">
        <v>39</v>
      </c>
      <c r="D3" s="15" t="s">
        <v>38</v>
      </c>
      <c r="E3" s="12" t="s">
        <v>40</v>
      </c>
    </row>
    <row r="4" spans="1:5" x14ac:dyDescent="0.35">
      <c r="A4" t="s">
        <v>30</v>
      </c>
      <c r="B4" s="16">
        <v>156675</v>
      </c>
      <c r="C4" s="16">
        <v>145200</v>
      </c>
      <c r="D4" s="16">
        <f>SUM(B4-C4)</f>
        <v>11475</v>
      </c>
      <c r="E4" s="18">
        <f>(D4/B4)</f>
        <v>7.3240785064624225E-2</v>
      </c>
    </row>
    <row r="5" spans="1:5" x14ac:dyDescent="0.35">
      <c r="A5" t="s">
        <v>31</v>
      </c>
      <c r="B5" s="16">
        <v>4300</v>
      </c>
      <c r="C5" s="16">
        <v>4300</v>
      </c>
      <c r="D5" s="16">
        <f t="shared" ref="D5:D10" si="0">SUM(B5-C5)</f>
        <v>0</v>
      </c>
      <c r="E5" s="18">
        <f t="shared" ref="E5:E10" si="1">(D5/B5)</f>
        <v>0</v>
      </c>
    </row>
    <row r="6" spans="1:5" x14ac:dyDescent="0.35">
      <c r="A6" t="s">
        <v>32</v>
      </c>
      <c r="B6" s="16">
        <v>1000</v>
      </c>
      <c r="C6" s="16">
        <v>1207</v>
      </c>
      <c r="D6" s="16">
        <f t="shared" si="0"/>
        <v>-207</v>
      </c>
      <c r="E6" s="18">
        <f t="shared" si="1"/>
        <v>-0.20699999999999999</v>
      </c>
    </row>
    <row r="7" spans="1:5" x14ac:dyDescent="0.35">
      <c r="A7" t="s">
        <v>33</v>
      </c>
      <c r="B7" s="16">
        <v>200</v>
      </c>
      <c r="C7" s="16">
        <v>142</v>
      </c>
      <c r="D7" s="16">
        <f t="shared" si="0"/>
        <v>58</v>
      </c>
      <c r="E7" s="18">
        <f t="shared" si="1"/>
        <v>0.28999999999999998</v>
      </c>
    </row>
    <row r="8" spans="1:5" x14ac:dyDescent="0.35">
      <c r="A8" t="s">
        <v>34</v>
      </c>
      <c r="B8" s="16">
        <v>20000</v>
      </c>
      <c r="C8" s="16">
        <v>18550</v>
      </c>
      <c r="D8" s="16">
        <f t="shared" si="0"/>
        <v>1450</v>
      </c>
      <c r="E8" s="18">
        <f t="shared" si="1"/>
        <v>7.2499999999999995E-2</v>
      </c>
    </row>
    <row r="9" spans="1:5" x14ac:dyDescent="0.35">
      <c r="A9" t="s">
        <v>35</v>
      </c>
      <c r="B9" s="16">
        <v>15650</v>
      </c>
      <c r="C9" s="16">
        <v>13400</v>
      </c>
      <c r="D9" s="16">
        <f t="shared" si="0"/>
        <v>2250</v>
      </c>
      <c r="E9" s="18">
        <f t="shared" si="1"/>
        <v>0.14376996805111822</v>
      </c>
    </row>
    <row r="10" spans="1:5" x14ac:dyDescent="0.35">
      <c r="A10" t="s">
        <v>36</v>
      </c>
      <c r="B10" s="16">
        <v>3800</v>
      </c>
      <c r="C10" s="16">
        <v>3800</v>
      </c>
      <c r="D10" s="16">
        <f t="shared" si="0"/>
        <v>0</v>
      </c>
      <c r="E10" s="18">
        <f t="shared" si="1"/>
        <v>0</v>
      </c>
    </row>
    <row r="12" spans="1:5" x14ac:dyDescent="0.35">
      <c r="A12" t="s">
        <v>41</v>
      </c>
      <c r="B12" s="16">
        <f>SUM(B4:B10)</f>
        <v>201625</v>
      </c>
      <c r="C12" s="16">
        <f t="shared" ref="C12:D12" si="2">SUM(C4:C10)</f>
        <v>186599</v>
      </c>
      <c r="D12" s="16">
        <f t="shared" si="2"/>
        <v>15026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2475-126C-4EFC-935C-A1B24726DED8}">
  <dimension ref="A1:H17"/>
  <sheetViews>
    <sheetView tabSelected="1" workbookViewId="0">
      <selection activeCell="F11" sqref="F11"/>
    </sheetView>
  </sheetViews>
  <sheetFormatPr defaultRowHeight="14.5" x14ac:dyDescent="0.35"/>
  <cols>
    <col min="1" max="1" width="12.90625" customWidth="1"/>
    <col min="2" max="9" width="15.54296875" customWidth="1"/>
  </cols>
  <sheetData>
    <row r="1" spans="1:8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35">
      <c r="A2">
        <v>1</v>
      </c>
      <c r="B2">
        <v>150</v>
      </c>
      <c r="C2">
        <v>1000</v>
      </c>
      <c r="D2">
        <f>B2*$B$10</f>
        <v>41250</v>
      </c>
      <c r="E2">
        <f>B2*$B$10</f>
        <v>41250</v>
      </c>
      <c r="F2">
        <f>(E2+D2)-C2</f>
        <v>81500</v>
      </c>
      <c r="G2">
        <f>IF(F2&gt;83500, F2* 10%, 0)</f>
        <v>0</v>
      </c>
      <c r="H2">
        <f>F2-G2</f>
        <v>81500</v>
      </c>
    </row>
    <row r="3" spans="1:8" x14ac:dyDescent="0.35">
      <c r="A3">
        <v>2</v>
      </c>
      <c r="B3">
        <v>153</v>
      </c>
      <c r="C3">
        <v>500</v>
      </c>
      <c r="D3">
        <f t="shared" ref="D3:D8" si="0">B3*$B$10</f>
        <v>42075</v>
      </c>
      <c r="E3">
        <f t="shared" ref="E3:E8" si="1">B3*$B$10</f>
        <v>42075</v>
      </c>
      <c r="F3">
        <f t="shared" ref="F3:F8" si="2">(E3+D3)-C3</f>
        <v>83650</v>
      </c>
      <c r="G3">
        <f t="shared" ref="G3:G8" si="3">IF(F3&gt;83500, F3* 10%, 0)</f>
        <v>8365</v>
      </c>
      <c r="H3">
        <f t="shared" ref="H3:H8" si="4">F3-G3</f>
        <v>75285</v>
      </c>
    </row>
    <row r="4" spans="1:8" x14ac:dyDescent="0.35">
      <c r="A4">
        <v>3</v>
      </c>
      <c r="B4">
        <v>180</v>
      </c>
      <c r="C4">
        <v>12509</v>
      </c>
      <c r="D4">
        <f t="shared" si="0"/>
        <v>49500</v>
      </c>
      <c r="E4">
        <f t="shared" si="1"/>
        <v>49500</v>
      </c>
      <c r="F4">
        <f t="shared" si="2"/>
        <v>86491</v>
      </c>
      <c r="G4">
        <f t="shared" si="3"/>
        <v>8649.1</v>
      </c>
      <c r="H4">
        <f t="shared" si="4"/>
        <v>77841.899999999994</v>
      </c>
    </row>
    <row r="5" spans="1:8" x14ac:dyDescent="0.35">
      <c r="A5">
        <v>4</v>
      </c>
      <c r="B5">
        <v>145</v>
      </c>
      <c r="C5">
        <v>2000</v>
      </c>
      <c r="D5">
        <f t="shared" si="0"/>
        <v>39875</v>
      </c>
      <c r="E5">
        <f t="shared" si="1"/>
        <v>39875</v>
      </c>
      <c r="F5">
        <f t="shared" si="2"/>
        <v>77750</v>
      </c>
      <c r="G5">
        <f t="shared" si="3"/>
        <v>0</v>
      </c>
      <c r="H5">
        <f t="shared" si="4"/>
        <v>77750</v>
      </c>
    </row>
    <row r="6" spans="1:8" x14ac:dyDescent="0.35">
      <c r="A6">
        <v>5</v>
      </c>
      <c r="B6">
        <v>163</v>
      </c>
      <c r="C6">
        <v>600</v>
      </c>
      <c r="D6">
        <f t="shared" si="0"/>
        <v>44825</v>
      </c>
      <c r="E6">
        <f t="shared" si="1"/>
        <v>44825</v>
      </c>
      <c r="F6">
        <f t="shared" si="2"/>
        <v>89050</v>
      </c>
      <c r="G6">
        <f t="shared" si="3"/>
        <v>8905</v>
      </c>
      <c r="H6">
        <f t="shared" si="4"/>
        <v>80145</v>
      </c>
    </row>
    <row r="7" spans="1:8" x14ac:dyDescent="0.35">
      <c r="A7">
        <v>6</v>
      </c>
      <c r="B7">
        <v>192</v>
      </c>
      <c r="C7">
        <v>150</v>
      </c>
      <c r="D7">
        <f t="shared" si="0"/>
        <v>52800</v>
      </c>
      <c r="E7">
        <f t="shared" si="1"/>
        <v>52800</v>
      </c>
      <c r="F7">
        <f t="shared" si="2"/>
        <v>105450</v>
      </c>
      <c r="G7">
        <f t="shared" si="3"/>
        <v>10545</v>
      </c>
      <c r="H7">
        <f t="shared" si="4"/>
        <v>94905</v>
      </c>
    </row>
    <row r="8" spans="1:8" x14ac:dyDescent="0.35">
      <c r="A8">
        <v>7</v>
      </c>
      <c r="B8">
        <v>175</v>
      </c>
      <c r="C8">
        <v>350</v>
      </c>
      <c r="D8">
        <f t="shared" si="0"/>
        <v>48125</v>
      </c>
      <c r="E8">
        <f t="shared" si="1"/>
        <v>48125</v>
      </c>
      <c r="F8">
        <f t="shared" si="2"/>
        <v>95900</v>
      </c>
      <c r="G8">
        <f t="shared" si="3"/>
        <v>9590</v>
      </c>
      <c r="H8">
        <f t="shared" si="4"/>
        <v>86310</v>
      </c>
    </row>
    <row r="10" spans="1:8" x14ac:dyDescent="0.35">
      <c r="A10" t="s">
        <v>50</v>
      </c>
      <c r="B10">
        <v>275</v>
      </c>
    </row>
    <row r="11" spans="1:8" x14ac:dyDescent="0.35">
      <c r="C11">
        <v>1</v>
      </c>
      <c r="D11" t="s">
        <v>51</v>
      </c>
      <c r="E11">
        <v>73</v>
      </c>
    </row>
    <row r="13" spans="1:8" x14ac:dyDescent="0.35">
      <c r="D13" t="s">
        <v>52</v>
      </c>
      <c r="E13" t="s">
        <v>59</v>
      </c>
    </row>
    <row r="14" spans="1:8" x14ac:dyDescent="0.35">
      <c r="D14" t="s">
        <v>53</v>
      </c>
      <c r="E14" t="s">
        <v>58</v>
      </c>
    </row>
    <row r="15" spans="1:8" x14ac:dyDescent="0.35">
      <c r="D15" t="s">
        <v>54</v>
      </c>
      <c r="E15" t="s">
        <v>57</v>
      </c>
    </row>
    <row r="16" spans="1:8" x14ac:dyDescent="0.35">
      <c r="D16" t="s">
        <v>55</v>
      </c>
      <c r="E16" t="s">
        <v>60</v>
      </c>
    </row>
    <row r="17" spans="4:5" x14ac:dyDescent="0.35">
      <c r="D17" t="s">
        <v>56</v>
      </c>
      <c r="E17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B7FB607EE4242994F71FEA1D5DD00" ma:contentTypeVersion="2" ma:contentTypeDescription="Create a new document." ma:contentTypeScope="" ma:versionID="59e01a2923f3676e8633dae3d37bbbfb">
  <xsd:schema xmlns:xsd="http://www.w3.org/2001/XMLSchema" xmlns:xs="http://www.w3.org/2001/XMLSchema" xmlns:p="http://schemas.microsoft.com/office/2006/metadata/properties" xmlns:ns3="618cc347-8e07-4c7f-bec1-88b1493b831f" targetNamespace="http://schemas.microsoft.com/office/2006/metadata/properties" ma:root="true" ma:fieldsID="7f9db2af1f9457b3f001eacf7a7619a3" ns3:_="">
    <xsd:import namespace="618cc347-8e07-4c7f-bec1-88b1493b83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cc347-8e07-4c7f-bec1-88b1493b83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A9BB18-DFE6-45F4-AFF6-7FD32A58D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8cc347-8e07-4c7f-bec1-88b1493b83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A6FD2-F952-4F77-83B8-5A065F8575C8}">
  <ds:schemaRefs>
    <ds:schemaRef ds:uri="http://schemas.microsoft.com/office/infopath/2007/PartnerControls"/>
    <ds:schemaRef ds:uri="618cc347-8e07-4c7f-bec1-88b1493b831f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EC2F975-ADFD-4DBA-BB8B-EA1F8C7D38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 1</vt:lpstr>
      <vt:lpstr>Activity 2</vt:lpstr>
      <vt:lpstr>Activity 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Saad.20221804</cp:lastModifiedBy>
  <dcterms:created xsi:type="dcterms:W3CDTF">2023-03-13T05:10:37Z</dcterms:created>
  <dcterms:modified xsi:type="dcterms:W3CDTF">2023-03-27T05:10:16Z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0x0101001A7B7FB607EE4242994F71FEA1D5DD00</vt:lpwstr>
  </property>
</Properties>
</file>